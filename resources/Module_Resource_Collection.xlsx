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75b1842c0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81db93c88e542d8"/>
    <x:sheet xmlns:r="http://schemas.openxmlformats.org/officeDocument/2006/relationships" name="Course Setup" sheetId="2" r:id="R859ab42862d84d4e"/>
    <x:sheet xmlns:r="http://schemas.openxmlformats.org/officeDocument/2006/relationships" name="Standards" sheetId="3" r:id="Re70a28ffb7a34d56"/>
    <x:sheet xmlns:r="http://schemas.openxmlformats.org/officeDocument/2006/relationships" name="Resources" sheetId="4" r:id="Rab200f7e528e40c2"/>
    <x:sheet xmlns:r="http://schemas.openxmlformats.org/officeDocument/2006/relationships" name="Lesson Blueprint" sheetId="5" r:id="Rdbf04ba3f9794403"/>
    <x:sheet xmlns:r="http://schemas.openxmlformats.org/officeDocument/2006/relationships" name="Lesson Content" sheetId="6" r:id="R04e5dbea2739469a"/>
    <x:sheet xmlns:r="http://schemas.openxmlformats.org/officeDocument/2006/relationships" name="Checks for Understanding" sheetId="7" r:id="R377eb22f08e24667"/>
    <x:sheet xmlns:r="http://schemas.openxmlformats.org/officeDocument/2006/relationships" name="Application Activities" sheetId="8" r:id="R051aba5b7cfe4327"/>
    <x:sheet xmlns:r="http://schemas.openxmlformats.org/officeDocument/2006/relationships" name="Program Scenarios" sheetId="9" r:id="R3bffb22a82c14457"/>
    <x:sheet xmlns:r="http://schemas.openxmlformats.org/officeDocument/2006/relationships" name="Assessment Bank" sheetId="10" r:id="R3bed13e339ea4151"/>
    <x:sheet xmlns:r="http://schemas.openxmlformats.org/officeDocument/2006/relationships" name="Decisions &amp; Issues" sheetId="11" r:id="R8b5b2569a0e5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22222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5A70"/>
      </x:patternFill>
    </x:fill>
    <x:fill>
      <x:patternFill patternType="solid">
        <x:fgColor rgb="FFF2F9FD"/>
      </x:patternFill>
    </x:fill>
    <x:fill>
      <x:patternFill patternType="solid">
        <x:fgColor rgb="FFE67E22"/>
      </x:patternFill>
    </x:fill>
    <x:fill>
      <x:patternFill patternType="solid">
        <x:fgColor rgb="FF2980B9"/>
      </x:patternFill>
    </x:fill>
  </x:fills>
  <x:borders count="13">
    <x:border/>
    <x:border>
      <x:right style="thin">
        <x:color rgb="FFD6E2E6"/>
      </x:right>
      <x:bottom style="thin">
        <x:color rgb="FFD6E2E6"/>
      </x:bottom>
    </x:border>
    <x:border>
      <x:left style="thin">
        <x:color rgb="FFD6E2E6"/>
      </x:left>
      <x:right style="thin">
        <x:color rgb="FFD6E2E6"/>
      </x:right>
      <x:bottom style="thin">
        <x:color rgb="FFD6E2E6"/>
      </x:bottom>
    </x:border>
    <x:border>
      <x:left style="thin">
        <x:color rgb="FFD6E2E6"/>
      </x:left>
      <x:bottom style="thin">
        <x:color rgb="FFD6E2E6"/>
      </x:bottom>
    </x:border>
    <x:border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left style="thin">
        <x:color rgb="FFD6E2E6"/>
      </x:left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left style="thin">
        <x:color rgb="FFD6E2E6"/>
      </x:left>
      <x:top style="thin">
        <x:color rgb="FFD6E2E6"/>
      </x:top>
      <x:bottom style="thin">
        <x:color rgb="FFD6E2E6"/>
      </x:bottom>
    </x:border>
    <x:border>
      <x:right style="thin">
        <x:color rgb="FFD6E2E6"/>
      </x:right>
      <x:top style="thin">
        <x:color rgb="FFD6E2E6"/>
      </x:top>
    </x:border>
    <x:border>
      <x:left style="thin">
        <x:color rgb="FFD6E2E6"/>
      </x:left>
      <x:right style="thin">
        <x:color rgb="FFD6E2E6"/>
      </x:right>
      <x:top style="thin">
        <x:color rgb="FFD6E2E6"/>
      </x:top>
    </x:border>
    <x:border>
      <x:left style="thin">
        <x:color rgb="FFD6E2E6"/>
      </x:left>
      <x:top style="thin">
        <x:color rgb="FFD6E2E6"/>
      </x:top>
    </x:border>
    <x:border>
      <x:right style="thin">
        <x:color rgb="FFD6E2E6"/>
      </x:right>
    </x:border>
    <x:border>
      <x:left style="thin">
        <x:color rgb="FFD6E2E6"/>
      </x:left>
      <x:right style="thin">
        <x:color rgb="FFD6E2E6"/>
      </x:right>
    </x:border>
    <x:border>
      <x:left style="thin">
        <x:color rgb="FFD6E2E6"/>
      </x:left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7AE60"/>
      </x:font>
      <x:fill>
        <x:patternFill patternType="solid">
          <x:bgColor rgb="FFE9F7EF"/>
        </x:patternFill>
      </x:fill>
    </x:dxf>
    <x:dxf>
      <x:font>
        <x:b/>
        <x:color rgb="FF9A4A00"/>
      </x:font>
      <x:fill>
        <x:patternFill patternType="solid">
          <x:bgColor rgb="FFFFF9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fd5fcd0c9e4f92" /><Relationship Type="http://schemas.openxmlformats.org/officeDocument/2006/relationships/theme" Target="/xl/theme/theme1.xml" Id="R3a3393bfdc0c4c47" /><Relationship Type="http://schemas.openxmlformats.org/officeDocument/2006/relationships/sharedStrings" Target="/xl/sharedStrings.xml" Id="Rebe282f5a62b4056" /><Relationship Type="http://schemas.openxmlformats.org/officeDocument/2006/relationships/worksheet" Target="/xl/worksheets/sheet1.xml" Id="R781db93c88e542d8" /><Relationship Type="http://schemas.openxmlformats.org/officeDocument/2006/relationships/worksheet" Target="/xl/worksheets/sheet2.xml" Id="R859ab42862d84d4e" /><Relationship Type="http://schemas.openxmlformats.org/officeDocument/2006/relationships/worksheet" Target="/xl/worksheets/sheet3.xml" Id="Re70a28ffb7a34d56" /><Relationship Type="http://schemas.openxmlformats.org/officeDocument/2006/relationships/worksheet" Target="/xl/worksheets/sheet4.xml" Id="Rab200f7e528e40c2" /><Relationship Type="http://schemas.openxmlformats.org/officeDocument/2006/relationships/worksheet" Target="/xl/worksheets/sheet5.xml" Id="Rdbf04ba3f9794403" /><Relationship Type="http://schemas.openxmlformats.org/officeDocument/2006/relationships/worksheet" Target="/xl/worksheets/sheet6.xml" Id="R04e5dbea2739469a" /><Relationship Type="http://schemas.openxmlformats.org/officeDocument/2006/relationships/worksheet" Target="/xl/worksheets/sheet7.xml" Id="R377eb22f08e24667" /><Relationship Type="http://schemas.openxmlformats.org/officeDocument/2006/relationships/worksheet" Target="/xl/worksheets/sheet8.xml" Id="R051aba5b7cfe4327" /><Relationship Type="http://schemas.openxmlformats.org/officeDocument/2006/relationships/worksheet" Target="/xl/worksheets/sheet9.xml" Id="R3bffb22a82c14457" /><Relationship Type="http://schemas.openxmlformats.org/officeDocument/2006/relationships/worksheet" Target="/xl/worksheets/sheet10.xml" Id="R3bed13e339ea4151" /><Relationship Type="http://schemas.openxmlformats.org/officeDocument/2006/relationships/worksheet" Target="/xl/worksheets/sheet11.xml" Id="R8b5b2569a0e54d70" /><Relationship Type="http://schemas.microsoft.com/office/2017/10/relationships/person" Target="/xl/persons/person.xml" Id="Re0d061cf8bb6484b" /></Relationships>
</file>

<file path=xl/persons/person.xml><?xml version="1.0" encoding="utf-8"?>
<xltc:personList xmlns:xltc="http://schemas.microsoft.com/office/spreadsheetml/2018/threadedcomments">
  <xltc:person displayName="User" id="{02C0FEF9-8C99-4791-8F4C-F9091CCD1FC6}"/>
</xltc:personList>
</file>

<file path=xl/tables/table1.xml><?xml version="1.0" encoding="utf-8"?>
<x:table xmlns:x="http://schemas.openxmlformats.org/spreadsheetml/2006/main" id="1" name="CourseSetupTable" displayName="CourseSetupTable" ref="A4:D18" headerRowCount="1" totalsRowCount="0" totalsRowShown="0">
  <x:tableColumns count="4">
    <x:tableColumn id="1" name="Setting"/>
    <x:tableColumn id="2" name="Value"/>
    <x:tableColumn id="3" name="Authority"/>
    <x:tableColumn id="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ndardsTable" displayName="StandardsTable" ref="A4:H5" headerRowCount="1" totalsRowCount="0" totalsRowShown="0">
  <x:tableColumns count="8">
    <x:tableColumn id="1" name="Standard ID"/>
    <x:tableColumn id="2" name="Full Standard Wording"/>
    <x:tableColumn id="3" name="Issuing Organization"/>
    <x:tableColumn id="4" name="Source URL"/>
    <x:tableColumn id="5" name="Priority"/>
    <x:tableColumn id="6" name="Designer Notes"/>
    <x:tableColumn id="7" name="Evidence or Clarification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ourcesTable" displayName="ResourcesTable" ref="A4:R5" headerRowCount="1" totalsRowCount="0" totalsRowShown="0">
  <x:tableColumns count="18">
    <x:tableColumn id="1" name="Resource ID"/>
    <x:tableColumn id="2" name="Title"/>
    <x:tableColumn id="3" name="Resource Type"/>
    <x:tableColumn id="4" name="URL or File Path"/>
    <x:tableColumn id="5" name="Publisher or Author"/>
    <x:tableColumn id="6" name="Publication Date"/>
    <x:tableColumn id="7" name="Runtime Minutes"/>
    <x:tableColumn id="8" name="Transcript URL or Path"/>
    <x:tableColumn id="9" name="Captions Verified"/>
    <x:tableColumn id="10" name="Accessibility Notes"/>
    <x:tableColumn id="11" name="Standard IDs"/>
    <x:tableColumn id="12" name="Suggested Lesson"/>
    <x:tableColumn id="13" name="Suggested Step"/>
    <x:tableColumn id="14" name="Designer Notes"/>
    <x:tableColumn id="15" name="Instructional Purpose"/>
    <x:tableColumn id="16" name="Source or Attribution"/>
    <x:tableColumn id="17" name="Approval Status"/>
    <x:tableColumn id="18" name="Link 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ssonBlueprintTable" displayName="LessonBlueprintTable" ref="A4:R12" headerRowCount="1" totalsRowCount="0" totalsRowShown="0">
  <x:tableColumns count="18">
    <x:tableColumn id="1" name="Lesson"/>
    <x:tableColumn id="2" name="Proposed Title"/>
    <x:tableColumn id="3" name="Topic and Purpose"/>
    <x:tableColumn id="4" name="Standard IDs"/>
    <x:tableColumn id="5" name="Draft Learning Objectives"/>
    <x:tableColumn id="6" name="Vocabulary"/>
    <x:tableColumn id="7" name=".2 Focus"/>
    <x:tableColumn id="8" name=".2 Resource ID"/>
    <x:tableColumn id="9" name="Use .3?"/>
    <x:tableColumn id="10" name=".3 Focus and Resource"/>
    <x:tableColumn id="11" name="Use .4?"/>
    <x:tableColumn id="12" name=".4 Focus and Resource"/>
    <x:tableColumn id="13" name=".5 Application Focus"/>
    <x:tableColumn id="14" name="Activity Completion Mode"/>
    <x:tableColumn id="15" name=".6 Evidence of Learning"/>
    <x:tableColumn id="16" name="Estimated Minutes"/>
    <x:tableColumn id="17" name="Designer Status"/>
    <x:tableColumn id="18" name="Designer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ssonContentTable" displayName="LessonContentTable" ref="A4:P12" headerRowCount="1" totalsRowCount="0" totalsRowShown="0">
  <x:tableColumns count="16">
    <x:tableColumn id="1" name="Lesson"/>
    <x:tableColumn id="2" name="Step"/>
    <x:tableColumn id="3" name="Step Title"/>
    <x:tableColumn id="4" name="Instructional Purpose"/>
    <x:tableColumn id="5" name="Your Next Move"/>
    <x:tableColumn id="6" name="Student-Facing Instruction"/>
    <x:tableColumn id="7" name="Primary Resource ID"/>
    <x:tableColumn id="8" name="Additional Source IDs"/>
    <x:tableColumn id="9" name="Graphic Path"/>
    <x:tableColumn id="10" name="Graphic Alt Text"/>
    <x:tableColumn id="11" name="Graphic Caption"/>
    <x:tableColumn id="12" name="Check Override Reason"/>
    <x:tableColumn id="13" name="Estimated Minutes"/>
    <x:tableColumn id="14" name="Reading-Level Check"/>
    <x:tableColumn id="15" name="Approval Status"/>
    <x:tableColumn id="16" name="Designer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ecksTable" displayName="ChecksTable" ref="A4:V5" headerRowCount="1" totalsRowCount="0" totalsRowShown="0">
  <x:tableColumns count="22">
    <x:tableColumn id="1" name="Lesson"/>
    <x:tableColumn id="2" name="Step"/>
    <x:tableColumn id="3" name="Question ID"/>
    <x:tableColumn id="4" name="Standard IDs"/>
    <x:tableColumn id="5" name="Objective IDs"/>
    <x:tableColumn id="6" name="Question Type"/>
    <x:tableColumn id="7" name="Prompt"/>
    <x:tableColumn id="8" name="Option A"/>
    <x:tableColumn id="9" name="Option B"/>
    <x:tableColumn id="10" name="Option C"/>
    <x:tableColumn id="11" name="Option D"/>
    <x:tableColumn id="12" name="Option E"/>
    <x:tableColumn id="13" name="Option F"/>
    <x:tableColumn id="14" name="Correct Answer(s)"/>
    <x:tableColumn id="15" name="Correct Feedback"/>
    <x:tableColumn id="16" name="Incorrect Feedback"/>
    <x:tableColumn id="17" name="Source IDs"/>
    <x:tableColumn id="18" name="Cognitive Level"/>
    <x:tableColumn id="19" name="Designer Rationale"/>
    <x:tableColumn id="20" name="Override Reason"/>
    <x:tableColumn id="21" name="Approval Status"/>
    <x:tableColumn id="22" name="Designer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licationsTable" displayName="ApplicationsTable" ref="A4:M12" headerRowCount="1" totalsRowCount="0" totalsRowShown="0">
  <x:tableColumns count="13">
    <x:tableColumn id="1" name="Lesson"/>
    <x:tableColumn id="2" name="Activity ID"/>
    <x:tableColumn id="3" name="Activity Title"/>
    <x:tableColumn id="4" name="Purpose"/>
    <x:tableColumn id="5" name="Standard IDs"/>
    <x:tableColumn id="6" name="Objective IDs"/>
    <x:tableColumn id="7" name="Directions"/>
    <x:tableColumn id="8" name="Completion Mode"/>
    <x:tableColumn id="9" name="Student Product or Evidence"/>
    <x:tableColumn id="10" name="Estimated Minutes"/>
    <x:tableColumn id="11" name="Feedback or Exemplar Plan"/>
    <x:tableColumn id="12" name="Approval Status"/>
    <x:tableColumn id="13" name="Designer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gramScenariosTable" displayName="ProgramScenariosTable" ref="A4:N5" headerRowCount="1" totalsRowCount="0" totalsRowShown="0">
  <x:tableColumns count="14">
    <x:tableColumn id="1" name="Lesson"/>
    <x:tableColumn id="2" name="Activity ID"/>
    <x:tableColumn id="3" name="Program"/>
    <x:tableColumn id="4" name="Scenario ID"/>
    <x:tableColumn id="5" name="Situation"/>
    <x:tableColumn id="6" name="Prompt 1"/>
    <x:tableColumn id="7" name="Prompt 2"/>
    <x:tableColumn id="8" name="Prompt 3"/>
    <x:tableColumn id="9" name="Exemplar or Feedback"/>
    <x:tableColumn id="10" name="Source IDs"/>
    <x:tableColumn id="11" name="Subject-Matter Verification"/>
    <x:tableColumn id="12" name="Coverage Quality"/>
    <x:tableColumn id="13" name="Approval Status"/>
    <x:tableColumn id="14" name="Designer 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ssessmentBankTable" displayName="AssessmentBankTable" ref="A4:AA5" headerRowCount="1" totalsRowCount="0" totalsRowShown="0">
  <x:tableColumns count="27">
    <x:tableColumn id="1" name="Lesson"/>
    <x:tableColumn id="2" name="Question ID"/>
    <x:tableColumn id="3" name="Standard IDs"/>
    <x:tableColumn id="4" name="Objective IDs"/>
    <x:tableColumn id="5" name="Question Type"/>
    <x:tableColumn id="6" name="Prompt"/>
    <x:tableColumn id="7" name="Option A"/>
    <x:tableColumn id="8" name="Option B"/>
    <x:tableColumn id="9" name="Option C"/>
    <x:tableColumn id="10" name="Option D"/>
    <x:tableColumn id="11" name="Option E"/>
    <x:tableColumn id="12" name="Option F"/>
    <x:tableColumn id="13" name="Correct Answer(s)"/>
    <x:tableColumn id="14" name="Points"/>
    <x:tableColumn id="15" name="Correct Feedback"/>
    <x:tableColumn id="16" name="Incorrect Feedback"/>
    <x:tableColumn id="17" name="Source IDs"/>
    <x:tableColumn id="18" name="Cognitive Level"/>
    <x:tableColumn id="19" name="Randomization Group"/>
    <x:tableColumn id="20" name="Required"/>
    <x:tableColumn id="21" name="Google Forms Override"/>
    <x:tableColumn id="22" name="Canvas Override"/>
    <x:tableColumn id="23" name="Conversion Notes"/>
    <x:tableColumn id="24" name="Reflection Item"/>
    <x:tableColumn id="25" name="Approval Status"/>
    <x:tableColumn id="26" name="Designer Notes"/>
    <x:tableColumn id="27" name="Portability Chec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cisionsTable" displayName="DecisionsTable" ref="A4:K5" headerRowCount="1" totalsRowCount="0" totalsRowShown="0">
  <x:tableColumns count="11">
    <x:tableColumn id="1" name="Item ID"/>
    <x:tableColumn id="2" name="Date"/>
    <x:tableColumn id="3" name="Lesson or Scope"/>
    <x:tableColumn id="4" name="Type"/>
    <x:tableColumn id="5" name="Description"/>
    <x:tableColumn id="6" name="Evidence or Source"/>
    <x:tableColumn id="7" name="Recommendation"/>
    <x:tableColumn id="8" name="Owner"/>
    <x:tableColumn id="9" name="Status"/>
    <x:tableColumn id="10" name="Decision or Resolution"/>
    <x:tableColumn id="11" name="Approval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5f28f971b84c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ec7f16a0bc43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878f980feb4f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fde4d37c4340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f19d64aa6445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2d136ab0db4f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be326b47644b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e78ec2417d49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31988b760e44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41a13a5c60e4b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Eight-Week CTE Module: Resource Collection Workbook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Designers provide standards and approved resources. Codex uses this workbook to propose, draft, and validate the eight-lesson module.</x:v>
      </x:c>
      <x:c r="B2" s="7"/>
      <x:c r="C2" s="7"/>
      <x:c r="D2" s="7"/>
      <x:c r="E2" s="7"/>
      <x:c r="F2" s="7"/>
      <x:c r="G2" s="7"/>
      <x:c r="H2" s="7"/>
    </x:row>
    <x:row r="4" ht="26" customHeight="1">
      <x:c r="A4" s="9" t="str">
        <x:v>How to use this workbook</x:v>
      </x:c>
      <x:c r="B4" s="9"/>
      <x:c r="C4" s="9"/>
      <x:c r="D4" s="9"/>
      <x:c r="E4" s="9"/>
      <x:c r="F4" s="9"/>
      <x:c r="G4" s="9"/>
      <x:c r="H4" s="9"/>
    </x:row>
    <x:row r="5" ht="34" customHeight="1">
      <x:c r="A5" s="12" t="str">
        <x:v>1</x:v>
      </x:c>
      <x:c r="B5" s="13" t="str">
        <x:v>Complete Course Setup and enter the authoritative standards.</x:v>
      </x:c>
      <x:c r="C5" s="13"/>
      <x:c r="D5" s="13"/>
      <x:c r="E5" s="13"/>
      <x:c r="F5" s="13"/>
      <x:c r="G5" s="13"/>
      <x:c r="H5" s="13"/>
    </x:row>
    <x:row r="6" ht="34" customHeight="1">
      <x:c r="A6" s="12" t="str">
        <x:v>2</x:v>
      </x:c>
      <x:c r="B6" s="13" t="str">
        <x:v>Add resources selected by the designer. Include transcripts or caption information for required media.</x:v>
      </x:c>
      <x:c r="C6" s="13"/>
      <x:c r="D6" s="13"/>
      <x:c r="E6" s="13"/>
      <x:c r="F6" s="13"/>
      <x:c r="G6" s="13"/>
      <x:c r="H6" s="13"/>
    </x:row>
    <x:row r="7" ht="34" customHeight="1">
      <x:c r="A7" s="12" t="str">
        <x:v>3</x:v>
      </x:c>
      <x:c r="B7" s="13" t="str">
        <x:v>Ask Codex to propose the eight-lesson blueprint. Review topics, objectives, optional steps, pacing, and application focus.</x:v>
      </x:c>
      <x:c r="C7" s="13"/>
      <x:c r="D7" s="13"/>
      <x:c r="E7" s="13"/>
      <x:c r="F7" s="13"/>
      <x:c r="G7" s="13"/>
      <x:c r="H7" s="13"/>
    </x:row>
    <x:row r="8" ht="34" customHeight="1">
      <x:c r="A8" s="12" t="str">
        <x:v>4</x:v>
      </x:c>
      <x:c r="B8" s="13" t="str">
        <x:v>After blueprint approval, ask Codex to draft checks, program applications, and assessments in the remaining tabs.</x:v>
      </x:c>
      <x:c r="C8" s="13"/>
      <x:c r="D8" s="13"/>
      <x:c r="E8" s="13"/>
      <x:c r="F8" s="13"/>
      <x:c r="G8" s="13"/>
      <x:c r="H8" s="13"/>
    </x:row>
    <x:row r="9" ht="34" customHeight="1">
      <x:c r="A9" s="12" t="str">
        <x:v>5</x:v>
      </x:c>
      <x:c r="B9" s="13" t="str">
        <x:v>Approve or revise each drafted item. Only Approved items are used for release outputs.</x:v>
      </x:c>
      <x:c r="C9" s="13"/>
      <x:c r="D9" s="13"/>
      <x:c r="E9" s="13"/>
      <x:c r="F9" s="13"/>
      <x:c r="G9" s="13"/>
      <x:c r="H9" s="13"/>
    </x:row>
    <x:row r="10" ht="34" customHeight="1">
      <x:c r="A10" s="12" t="str">
        <x:v>6</x:v>
      </x:c>
      <x:c r="B10" s="13" t="str">
        <x:v>Generate the site and platform assessment exports, preview them, and publish only after authorization.</x:v>
      </x:c>
      <x:c r="C10" s="13"/>
      <x:c r="D10" s="13"/>
      <x:c r="E10" s="13"/>
      <x:c r="F10" s="13"/>
      <x:c r="G10" s="13"/>
      <x:c r="H10" s="13"/>
    </x:row>
    <x:row r="12">
      <x:c r="A12" s="15" t="str">
        <x:v>Readiness check</x:v>
      </x:c>
      <x:c r="B12" s="15" t="str">
        <x:v>Current count</x:v>
      </x:c>
      <x:c r="C12" s="15" t="str">
        <x:v>Expected</x:v>
      </x:c>
      <x:c r="D12" s="15" t="str">
        <x:v>Status</x:v>
      </x:c>
    </x:row>
    <x:row r="13">
      <x:c r="A13" s="16" t="str">
        <x:v>Standards entered</x:v>
      </x:c>
      <x:c r="B13" s="17" t="n">
        <x:f>COUNTIF('Standards'!$A$5:$A$204,"?*")</x:f>
        <x:v>0</x:v>
      </x:c>
      <x:c r="C13" s="17" t="str">
        <x:v>&gt;0</x:v>
      </x:c>
      <x:c r="D13" s="18" t="str">
        <x:f>IF(B13&gt;0,"Started","Needed")</x:f>
        <x:v>Needed</x:v>
      </x:c>
    </x:row>
    <x:row r="14">
      <x:c r="A14" s="19" t="str">
        <x:v>Approved resources</x:v>
      </x:c>
      <x:c r="B14" s="20" t="n">
        <x:f>COUNTIF('Resources'!$Q$5:$Q$204,"Approved")</x:f>
        <x:v>0</x:v>
      </x:c>
      <x:c r="C14" s="20" t="str">
        <x:v>&gt;0</x:v>
      </x:c>
      <x:c r="D14" s="21" t="str">
        <x:f>IF(B14&gt;0,"Started","Needed")</x:f>
        <x:v>Needed</x:v>
      </x:c>
    </x:row>
    <x:row r="15">
      <x:c r="A15" s="19" t="str">
        <x:v>Lesson rows</x:v>
      </x:c>
      <x:c r="B15" s="20" t="n">
        <x:f>COUNTA('Lesson Blueprint'!$A$5:$A$12)</x:f>
        <x:v>8</x:v>
      </x:c>
      <x:c r="C15" s="20" t="n">
        <x:v>8</x:v>
      </x:c>
      <x:c r="D15" s="21" t="str">
        <x:f>IF(B15=8,"Ready","Check")</x:f>
        <x:v>Ready</x:v>
      </x:c>
    </x:row>
    <x:row r="16">
      <x:c r="A16" s="19" t="str">
        <x:v>Approved checks</x:v>
      </x:c>
      <x:c r="B16" s="20" t="n">
        <x:f>COUNTIF('Checks for Understanding'!$U$5:$U$204,"Approved")</x:f>
        <x:v>0</x:v>
      </x:c>
      <x:c r="C16" s="20" t="str">
        <x:v>As drafted</x:v>
      </x:c>
      <x:c r="D16" s="21" t="str">
        <x:f>IF(B16&gt;0,"Started","Pending")</x:f>
        <x:v>Pending</x:v>
      </x:c>
    </x:row>
    <x:row r="17">
      <x:c r="A17" s="22" t="str">
        <x:v>Approved assessment items</x:v>
      </x:c>
      <x:c r="B17" s="23" t="n">
        <x:f>COUNTIF('Assessment Bank'!$Y$5:$Y$304,"Approved")</x:f>
        <x:v>0</x:v>
      </x:c>
      <x:c r="C17" s="23" t="str">
        <x:v>As drafted</x:v>
      </x:c>
      <x:c r="D17" s="24" t="str">
        <x:f>IF(B17&gt;0,"Started","Pending")</x:f>
        <x:v>Pending</x:v>
      </x:c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</x:mergeCells>
  <x:conditionalFormatting sqref="D13:D17">
    <x:cfRule type="containsText" dxfId="0" priority="1" operator="containsText" text="Ready"/>
    <x:cfRule type="containsText" dxfId="1" priority="2" operator="containsText" text="Need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0" hidden="0" customWidth="1"/>
    <x:col min="4" max="4" width="48" hidden="0" customWidth="1"/>
  </x:cols>
  <x:sheetData>
    <x:row r="1" ht="32" customHeight="1">
      <x:c r="A1" s="3" t="str">
        <x:v>Course Setup</x:v>
      </x:c>
      <x:c r="B1" s="3"/>
      <x:c r="C1" s="3"/>
      <x:c r="D1" s="3"/>
    </x:row>
    <x:row r="2" ht="34" customHeight="1">
      <x:c r="A2" s="7" t="str">
        <x:v>These values apply to the full eight-week module. Established defaults are prefilled and should change only through an approved template revision.</x:v>
      </x:c>
      <x:c r="B2" s="7"/>
      <x:c r="C2" s="7"/>
      <x:c r="D2" s="7"/>
    </x:row>
    <x:row r="4" ht="38" customHeight="1">
      <x:c r="A4" s="35" t="str">
        <x:v>Setting</x:v>
      </x:c>
      <x:c r="B4" s="36" t="str">
        <x:v>Value</x:v>
      </x:c>
      <x:c r="C4" s="36" t="str">
        <x:v>Authority</x:v>
      </x:c>
      <x:c r="D4" s="37" t="str">
        <x:v>Notes</x:v>
      </x:c>
    </x:row>
    <x:row r="5">
      <x:c r="A5" s="26" t="str">
        <x:v>Course title</x:v>
      </x:c>
      <x:c r="B5" s="27" t="str"/>
      <x:c r="C5" s="27" t="str">
        <x:v>Designer</x:v>
      </x:c>
      <x:c r="D5" s="28" t="str">
        <x:v>Required</x:v>
      </x:c>
    </x:row>
    <x:row r="6">
      <x:c r="A6" s="26" t="str">
        <x:v>Short title</x:v>
      </x:c>
      <x:c r="B6" s="27" t="str"/>
      <x:c r="C6" s="27" t="str">
        <x:v>Designer</x:v>
      </x:c>
      <x:c r="D6" s="28" t="str">
        <x:v>Required</x:v>
      </x:c>
    </x:row>
    <x:row r="7">
      <x:c r="A7" s="26" t="str">
        <x:v>Module purpose</x:v>
      </x:c>
      <x:c r="B7" s="27" t="str"/>
      <x:c r="C7" s="27" t="str">
        <x:v>Designer</x:v>
      </x:c>
      <x:c r="D7" s="28" t="str">
        <x:v>Required</x:v>
      </x:c>
    </x:row>
    <x:row r="8">
      <x:c r="A8" s="26" t="str">
        <x:v>Module type</x:v>
      </x:c>
      <x:c r="B8" s="27" t="str">
        <x:v>CTE</x:v>
      </x:c>
      <x:c r="C8" s="27" t="str">
        <x:v>Template default</x:v>
      </x:c>
      <x:c r="D8" s="28" t="str">
        <x:v>CTE requires program-specific .5 applications</x:v>
      </x:c>
    </x:row>
    <x:row r="9">
      <x:c r="A9" s="26" t="str">
        <x:v>Audience</x:v>
      </x:c>
      <x:c r="B9" s="27" t="str">
        <x:v>Grades 11–12 CTE students</x:v>
      </x:c>
      <x:c r="C9" s="27" t="str">
        <x:v>Template default</x:v>
      </x:c>
      <x:c r="D9" s="28" t="str">
        <x:v>Fixed</x:v>
      </x:c>
    </x:row>
    <x:row r="10">
      <x:c r="A10" s="26" t="str">
        <x:v>Number of lessons</x:v>
      </x:c>
      <x:c r="B10" s="27" t="n">
        <x:v>8</x:v>
      </x:c>
      <x:c r="C10" s="27" t="str">
        <x:v>Template default</x:v>
      </x:c>
      <x:c r="D10" s="28" t="str">
        <x:v>Fixed</x:v>
      </x:c>
    </x:row>
    <x:row r="11">
      <x:c r="A11" s="26" t="str">
        <x:v>Minutes per lesson</x:v>
      </x:c>
      <x:c r="B11" s="27" t="n">
        <x:v>50</x:v>
      </x:c>
      <x:c r="C11" s="27" t="str">
        <x:v>Template default</x:v>
      </x:c>
      <x:c r="D11" s="28" t="str">
        <x:v>Includes .6 assessment</x:v>
      </x:c>
    </x:row>
    <x:row r="12">
      <x:c r="A12" s="26" t="str">
        <x:v>Reading level</x:v>
      </x:c>
      <x:c r="B12" s="27" t="str">
        <x:v>Grades 7–8</x:v>
      </x:c>
      <x:c r="C12" s="27" t="str">
        <x:v>Template default</x:v>
      </x:c>
      <x:c r="D12" s="28" t="str">
        <x:v>Student-facing text</x:v>
      </x:c>
    </x:row>
    <x:row r="13">
      <x:c r="A13" s="26" t="str">
        <x:v>Accessibility target</x:v>
      </x:c>
      <x:c r="B13" s="38" t="str">
        <x:v>WCAG 2.2 AA and UDL</x:v>
      </x:c>
      <x:c r="C13" s="27" t="str">
        <x:v>Template default</x:v>
      </x:c>
      <x:c r="D13" s="28" t="str">
        <x:v>Fixed</x:v>
      </x:c>
    </x:row>
    <x:row r="14">
      <x:c r="A14" s="26" t="str">
        <x:v>Mastery threshold</x:v>
      </x:c>
      <x:c r="B14" s="27" t="n">
        <x:v>0.8</x:v>
      </x:c>
      <x:c r="C14" s="27" t="str">
        <x:v>Template default</x:v>
      </x:c>
      <x:c r="D14" s="28" t="str">
        <x:v>Fixed</x:v>
      </x:c>
    </x:row>
    <x:row r="15">
      <x:c r="A15" s="26" t="str">
        <x:v>Assessment attempts</x:v>
      </x:c>
      <x:c r="B15" s="27" t="n">
        <x:v>3</x:v>
      </x:c>
      <x:c r="C15" s="27" t="str">
        <x:v>Template default</x:v>
      </x:c>
      <x:c r="D15" s="28" t="str">
        <x:v>Fixed</x:v>
      </x:c>
    </x:row>
    <x:row r="16">
      <x:c r="A16" s="26" t="str">
        <x:v>Assessment location</x:v>
      </x:c>
      <x:c r="B16" s="27" t="str">
        <x:v>Return to the course</x:v>
      </x:c>
      <x:c r="C16" s="27" t="str">
        <x:v>Template default</x:v>
      </x:c>
      <x:c r="D16" s="28" t="str">
        <x:v>No student data collected by public site</x:v>
      </x:c>
    </x:row>
    <x:row r="17">
      <x:c r="A17" s="26" t="str">
        <x:v>Designer or team</x:v>
      </x:c>
      <x:c r="B17" s="27" t="str"/>
      <x:c r="C17" s="27" t="str">
        <x:v>Designer</x:v>
      </x:c>
      <x:c r="D17" s="28" t="str">
        <x:v>Optional</x:v>
      </x:c>
    </x:row>
    <x:row r="18">
      <x:c r="A18" s="26" t="str">
        <x:v>Feedback form URL</x:v>
      </x:c>
      <x:c r="B18" s="27" t="str"/>
      <x:c r="C18" s="27" t="str">
        <x:v>Designer</x:v>
      </x:c>
      <x:c r="D18" s="28" t="str">
        <x:v>Optional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d5f28f971b84c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26" hidden="0" customWidth="1"/>
    <x:col min="4" max="4" width="40" hidden="0" customWidth="1"/>
    <x:col min="5" max="5" width="14" hidden="0" customWidth="1"/>
    <x:col min="6" max="6" width="36" hidden="0" customWidth="1"/>
    <x:col min="7" max="7" width="36" hidden="0" customWidth="1"/>
    <x:col min="8" max="8" width="16" hidden="0" customWidth="1"/>
  </x:cols>
  <x:sheetData>
    <x:row r="1" ht="32" customHeight="1">
      <x:c r="A1" s="3" t="str">
        <x:v>Content Standards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Enter the authoritative standards that Codex must use to propose lesson topics and objectives.</x:v>
      </x:c>
      <x:c r="B2" s="7"/>
      <x:c r="C2" s="7"/>
      <x:c r="D2" s="7"/>
      <x:c r="E2" s="7"/>
      <x:c r="F2" s="7"/>
      <x:c r="G2" s="7"/>
      <x:c r="H2" s="7"/>
    </x:row>
    <x:row r="4" ht="38" customHeight="1">
      <x:c r="A4" s="35" t="str">
        <x:v>Standard ID</x:v>
      </x:c>
      <x:c r="B4" s="36" t="str">
        <x:v>Full Standard Wording</x:v>
      </x:c>
      <x:c r="C4" s="36" t="str">
        <x:v>Issuing Organization</x:v>
      </x:c>
      <x:c r="D4" s="36" t="str">
        <x:v>Source URL</x:v>
      </x:c>
      <x:c r="E4" s="36" t="str">
        <x:v>Priority</x:v>
      </x:c>
      <x:c r="F4" s="36" t="str">
        <x:v>Designer Notes</x:v>
      </x:c>
      <x:c r="G4" s="36" t="str">
        <x:v>Evidence or Clarification</x:v>
      </x:c>
      <x:c r="H4" s="37" t="str">
        <x:v>Status</x:v>
      </x:c>
    </x:row>
    <x:row r="5">
      <x:c r="A5" s="26" t="str"/>
      <x:c r="B5" s="27" t="str"/>
      <x:c r="C5" s="27" t="str"/>
      <x:c r="D5" s="27" t="str"/>
      <x:c r="E5" s="27" t="str">
        <x:v>Required</x:v>
      </x:c>
      <x:c r="F5" s="27" t="str"/>
      <x:c r="G5" s="27" t="str"/>
      <x:c r="H5" s="28" t="str">
        <x:v>Not Started</x:v>
      </x:c>
    </x:row>
  </x:sheetData>
  <x:mergeCells>
    <x:mergeCell ref="A1:H1"/>
    <x:mergeCell ref="A2:H2"/>
  </x:mergeCells>
  <x:dataValidations count="2">
    <x:dataValidation type="list" sqref="E5:E204">
      <x:formula1>"Required,Supporting"</x:formula1>
    </x:dataValidation>
    <x:dataValidation type="list" sqref="H5:H204">
      <x:formula1>"Not Started,Ready for Analysis,Needs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ec7f16a0bc43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42" hidden="0" customWidth="1"/>
    <x:col min="5" max="5" width="24" hidden="0" customWidth="1"/>
    <x:col min="6" max="6" width="16" hidden="0" customWidth="1"/>
    <x:col min="7" max="7" width="14" hidden="0" customWidth="1"/>
    <x:col min="8" max="8" width="42" hidden="0" customWidth="1"/>
    <x:col min="9" max="9" width="18" hidden="0" customWidth="1"/>
    <x:col min="10" max="10" width="32" hidden="0" customWidth="1"/>
    <x:col min="11" max="11" width="18" hidden="0" customWidth="1"/>
    <x:col min="12" max="12" width="14" hidden="0" customWidth="1"/>
    <x:col min="13" max="13" width="14" hidden="0" customWidth="1"/>
    <x:col min="14" max="14" width="34" hidden="0" customWidth="1"/>
    <x:col min="15" max="15" width="36" hidden="0" customWidth="1"/>
    <x:col min="16" max="16" width="32" hidden="0" customWidth="1"/>
    <x:col min="17" max="17" width="18" hidden="0" customWidth="1"/>
    <x:col min="18" max="18" width="16" hidden="0" customWidth="1"/>
  </x:cols>
  <x:sheetData>
    <x:row r="1" ht="32" customHeight="1">
      <x:c r="A1" s="3" t="str">
        <x:v>Designer-Selected Resources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Record trustworthy videos, transcripts, readings, websites, documents, and graphics. One instructional step should normally use one primary resource.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35" t="str">
        <x:v>Resource ID</x:v>
      </x:c>
      <x:c r="B4" s="36" t="str">
        <x:v>Title</x:v>
      </x:c>
      <x:c r="C4" s="36" t="str">
        <x:v>Resource Type</x:v>
      </x:c>
      <x:c r="D4" s="36" t="str">
        <x:v>URL or File Path</x:v>
      </x:c>
      <x:c r="E4" s="36" t="str">
        <x:v>Publisher or Author</x:v>
      </x:c>
      <x:c r="F4" s="36" t="str">
        <x:v>Publication Date</x:v>
      </x:c>
      <x:c r="G4" s="36" t="str">
        <x:v>Runtime Minutes</x:v>
      </x:c>
      <x:c r="H4" s="36" t="str">
        <x:v>Transcript URL or Path</x:v>
      </x:c>
      <x:c r="I4" s="36" t="str">
        <x:v>Captions Verified</x:v>
      </x:c>
      <x:c r="J4" s="36" t="str">
        <x:v>Accessibility Notes</x:v>
      </x:c>
      <x:c r="K4" s="36" t="str">
        <x:v>Standard IDs</x:v>
      </x:c>
      <x:c r="L4" s="36" t="str">
        <x:v>Suggested Lesson</x:v>
      </x:c>
      <x:c r="M4" s="36" t="str">
        <x:v>Suggested Step</x:v>
      </x:c>
      <x:c r="N4" s="36" t="str">
        <x:v>Designer Notes</x:v>
      </x:c>
      <x:c r="O4" s="36" t="str">
        <x:v>Instructional Purpose</x:v>
      </x:c>
      <x:c r="P4" s="36" t="str">
        <x:v>Source or Attribution</x:v>
      </x:c>
      <x:c r="Q4" s="36" t="str">
        <x:v>Approval Status</x:v>
      </x:c>
      <x:c r="R4" s="37" t="str">
        <x:v>Link Check</x:v>
      </x:c>
    </x:row>
    <x:row r="5">
      <x:c r="A5" s="26" t="str">
        <x:v>R001</x:v>
      </x:c>
      <x:c r="B5" s="27" t="str"/>
      <x:c r="C5" s="27" t="str">
        <x:v>Video</x:v>
      </x:c>
      <x:c r="D5" s="27" t="str"/>
      <x:c r="E5" s="27" t="str"/>
      <x:c r="F5" s="27"/>
      <x:c r="G5" s="27"/>
      <x:c r="H5" s="27" t="str"/>
      <x:c r="I5" s="27" t="str">
        <x:v>Not Checked</x:v>
      </x:c>
      <x:c r="J5" s="27" t="str"/>
      <x:c r="K5" s="27" t="str"/>
      <x:c r="L5" s="27"/>
      <x:c r="M5" s="27" t="str">
        <x:v>Step .2</x:v>
      </x:c>
      <x:c r="N5" s="27" t="str"/>
      <x:c r="O5" s="27" t="str"/>
      <x:c r="P5" s="27" t="str"/>
      <x:c r="Q5" s="27" t="str">
        <x:v>Not Reviewed</x:v>
      </x:c>
      <x:c r="R5" s="28" t="str">
        <x:v>Not Checked</x:v>
      </x:c>
    </x:row>
  </x:sheetData>
  <x:mergeCells>
    <x:mergeCell ref="A1:R1"/>
    <x:mergeCell ref="A2:R2"/>
  </x:mergeCells>
  <x:dataValidations count="5">
    <x:dataValidation type="list" sqref="C5:C204">
      <x:formula1>"Video,Transcript,Reading,Website,Document,Graphic,Audio,Other"</x:formula1>
    </x:dataValidation>
    <x:dataValidation type="list" sqref="I5:I204">
      <x:formula1>"Verified,Not Checked,Not Applicable"</x:formula1>
    </x:dataValidation>
    <x:dataValidation type="list" sqref="M5:M204">
      <x:formula1>"Step .2,Step .3,Step .4,Step .5,Unassigned"</x:formula1>
    </x:dataValidation>
    <x:dataValidation type="list" sqref="Q5:Q204">
      <x:formula1>"Not Reviewed,Approved,Rejected,Needs Follow-Up"</x:formula1>
    </x:dataValidation>
    <x:dataValidation type="list" sqref="R5:R204">
      <x:formula1>"Not Checked,Working,Broken,Restricted"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878f980feb4f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42" hidden="0" customWidth="1"/>
    <x:col min="4" max="4" width="18" hidden="0" customWidth="1"/>
    <x:col min="5" max="5" width="50" hidden="0" customWidth="1"/>
    <x:col min="6" max="6" width="28" hidden="0" customWidth="1"/>
    <x:col min="7" max="7" width="36" hidden="0" customWidth="1"/>
    <x:col min="8" max="8" width="18" hidden="0" customWidth="1"/>
    <x:col min="9" max="9" width="12" hidden="0" customWidth="1"/>
    <x:col min="10" max="10" width="40" hidden="0" customWidth="1"/>
    <x:col min="11" max="11" width="12" hidden="0" customWidth="1"/>
    <x:col min="12" max="12" width="40" hidden="0" customWidth="1"/>
    <x:col min="13" max="13" width="42" hidden="0" customWidth="1"/>
    <x:col min="14" max="14" width="25" hidden="0" customWidth="1"/>
    <x:col min="15" max="15" width="40" hidden="0" customWidth="1"/>
    <x:col min="16" max="16" width="15" hidden="0" customWidth="1"/>
    <x:col min="17" max="17" width="18" hidden="0" customWidth="1"/>
    <x:col min="18" max="18" width="34" hidden="0" customWidth="1"/>
  </x:cols>
  <x:sheetData>
    <x:row r="1" ht="32" customHeight="1">
      <x:c r="A1" s="3" t="str">
        <x:v>Eight-Lesson Blueprint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Codex proposes the topics, objectives, optional steps, applications, and pacing from approved standards and resources. The designer approves each lesson before drafting.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8" customHeight="1">
      <x:c r="A4" s="35" t="str">
        <x:v>Lesson</x:v>
      </x:c>
      <x:c r="B4" s="36" t="str">
        <x:v>Proposed Title</x:v>
      </x:c>
      <x:c r="C4" s="36" t="str">
        <x:v>Topic and Purpose</x:v>
      </x:c>
      <x:c r="D4" s="36" t="str">
        <x:v>Standard IDs</x:v>
      </x:c>
      <x:c r="E4" s="36" t="str">
        <x:v>Draft Learning Objectives</x:v>
      </x:c>
      <x:c r="F4" s="36" t="str">
        <x:v>Vocabulary</x:v>
      </x:c>
      <x:c r="G4" s="36" t="str">
        <x:v>.2 Focus</x:v>
      </x:c>
      <x:c r="H4" s="36" t="str">
        <x:v>.2 Resource ID</x:v>
      </x:c>
      <x:c r="I4" s="36" t="str">
        <x:v>Use .3?</x:v>
      </x:c>
      <x:c r="J4" s="36" t="str">
        <x:v>.3 Focus and Resource</x:v>
      </x:c>
      <x:c r="K4" s="36" t="str">
        <x:v>Use .4?</x:v>
      </x:c>
      <x:c r="L4" s="36" t="str">
        <x:v>.4 Focus and Resource</x:v>
      </x:c>
      <x:c r="M4" s="36" t="str">
        <x:v>.5 Application Focus</x:v>
      </x:c>
      <x:c r="N4" s="36" t="str">
        <x:v>Activity Completion Mode</x:v>
      </x:c>
      <x:c r="O4" s="36" t="str">
        <x:v>.6 Evidence of Learning</x:v>
      </x:c>
      <x:c r="P4" s="36" t="str">
        <x:v>Estimated Minutes</x:v>
      </x:c>
      <x:c r="Q4" s="36" t="str">
        <x:v>Designer Status</x:v>
      </x:c>
      <x:c r="R4" s="37" t="str">
        <x:v>Designer Notes</x:v>
      </x:c>
    </x:row>
    <x:row r="5">
      <x:c r="A5" s="26" t="n">
        <x:v>1</x:v>
      </x:c>
      <x:c r="B5" s="27" t="str">
        <x:v>Lesson 1 Topic</x:v>
      </x:c>
      <x:c r="C5" s="27" t="str"/>
      <x:c r="D5" s="27" t="str"/>
      <x:c r="E5" s="27" t="str"/>
      <x:c r="F5" s="27" t="str"/>
      <x:c r="G5" s="27" t="str"/>
      <x:c r="H5" s="27" t="str"/>
      <x:c r="I5" s="27" t="str">
        <x:v>No</x:v>
      </x:c>
      <x:c r="J5" s="27" t="str"/>
      <x:c r="K5" s="27" t="str">
        <x:v>No</x:v>
      </x:c>
      <x:c r="L5" s="27" t="str"/>
      <x:c r="M5" s="27" t="str"/>
      <x:c r="N5" s="27" t="str">
        <x:v>Designer Decision</x:v>
      </x:c>
      <x:c r="O5" s="27" t="str"/>
      <x:c r="P5" s="27" t="n">
        <x:v>50</x:v>
      </x:c>
      <x:c r="Q5" s="27" t="str">
        <x:v>Not Reviewed</x:v>
      </x:c>
      <x:c r="R5" s="28" t="str"/>
    </x:row>
    <x:row r="6">
      <x:c r="A6" s="26" t="n">
        <x:v>2</x:v>
      </x:c>
      <x:c r="B6" s="27" t="str">
        <x:v>Lesson 2 Topic</x:v>
      </x:c>
      <x:c r="C6" s="27" t="str"/>
      <x:c r="D6" s="27" t="str"/>
      <x:c r="E6" s="27" t="str"/>
      <x:c r="F6" s="27" t="str"/>
      <x:c r="G6" s="27" t="str"/>
      <x:c r="H6" s="27" t="str"/>
      <x:c r="I6" s="27" t="str">
        <x:v>No</x:v>
      </x:c>
      <x:c r="J6" s="27" t="str"/>
      <x:c r="K6" s="27" t="str">
        <x:v>No</x:v>
      </x:c>
      <x:c r="L6" s="27" t="str"/>
      <x:c r="M6" s="27" t="str"/>
      <x:c r="N6" s="27" t="str">
        <x:v>Designer Decision</x:v>
      </x:c>
      <x:c r="O6" s="27" t="str"/>
      <x:c r="P6" s="27" t="n">
        <x:v>50</x:v>
      </x:c>
      <x:c r="Q6" s="27" t="str">
        <x:v>Not Reviewed</x:v>
      </x:c>
      <x:c r="R6" s="28" t="str"/>
    </x:row>
    <x:row r="7">
      <x:c r="A7" s="26" t="n">
        <x:v>3</x:v>
      </x:c>
      <x:c r="B7" s="27" t="str">
        <x:v>Lesson 3 Topic</x:v>
      </x:c>
      <x:c r="C7" s="27" t="str"/>
      <x:c r="D7" s="27" t="str"/>
      <x:c r="E7" s="27" t="str"/>
      <x:c r="F7" s="27" t="str"/>
      <x:c r="G7" s="27" t="str"/>
      <x:c r="H7" s="27" t="str"/>
      <x:c r="I7" s="27" t="str">
        <x:v>No</x:v>
      </x:c>
      <x:c r="J7" s="27" t="str"/>
      <x:c r="K7" s="27" t="str">
        <x:v>No</x:v>
      </x:c>
      <x:c r="L7" s="27" t="str"/>
      <x:c r="M7" s="27" t="str"/>
      <x:c r="N7" s="27" t="str">
        <x:v>Designer Decision</x:v>
      </x:c>
      <x:c r="O7" s="27" t="str"/>
      <x:c r="P7" s="27" t="n">
        <x:v>50</x:v>
      </x:c>
      <x:c r="Q7" s="27" t="str">
        <x:v>Not Reviewed</x:v>
      </x:c>
      <x:c r="R7" s="28" t="str"/>
    </x:row>
    <x:row r="8">
      <x:c r="A8" s="26" t="n">
        <x:v>4</x:v>
      </x:c>
      <x:c r="B8" s="27" t="str">
        <x:v>Lesson 4 Topic</x:v>
      </x:c>
      <x:c r="C8" s="27" t="str"/>
      <x:c r="D8" s="27" t="str"/>
      <x:c r="E8" s="27" t="str"/>
      <x:c r="F8" s="27" t="str"/>
      <x:c r="G8" s="27" t="str"/>
      <x:c r="H8" s="27" t="str"/>
      <x:c r="I8" s="27" t="str">
        <x:v>No</x:v>
      </x:c>
      <x:c r="J8" s="27" t="str"/>
      <x:c r="K8" s="27" t="str">
        <x:v>No</x:v>
      </x:c>
      <x:c r="L8" s="27" t="str"/>
      <x:c r="M8" s="27" t="str"/>
      <x:c r="N8" s="27" t="str">
        <x:v>Designer Decision</x:v>
      </x:c>
      <x:c r="O8" s="27" t="str"/>
      <x:c r="P8" s="27" t="n">
        <x:v>50</x:v>
      </x:c>
      <x:c r="Q8" s="27" t="str">
        <x:v>Not Reviewed</x:v>
      </x:c>
      <x:c r="R8" s="28" t="str"/>
    </x:row>
    <x:row r="9">
      <x:c r="A9" s="26" t="n">
        <x:v>5</x:v>
      </x:c>
      <x:c r="B9" s="27" t="str">
        <x:v>Lesson 5 Topic</x:v>
      </x:c>
      <x:c r="C9" s="27" t="str"/>
      <x:c r="D9" s="27" t="str"/>
      <x:c r="E9" s="27" t="str"/>
      <x:c r="F9" s="27" t="str"/>
      <x:c r="G9" s="27" t="str"/>
      <x:c r="H9" s="27" t="str"/>
      <x:c r="I9" s="27" t="str">
        <x:v>No</x:v>
      </x:c>
      <x:c r="J9" s="27" t="str"/>
      <x:c r="K9" s="27" t="str">
        <x:v>No</x:v>
      </x:c>
      <x:c r="L9" s="27" t="str"/>
      <x:c r="M9" s="27" t="str"/>
      <x:c r="N9" s="27" t="str">
        <x:v>Designer Decision</x:v>
      </x:c>
      <x:c r="O9" s="27" t="str"/>
      <x:c r="P9" s="27" t="n">
        <x:v>50</x:v>
      </x:c>
      <x:c r="Q9" s="27" t="str">
        <x:v>Not Reviewed</x:v>
      </x:c>
      <x:c r="R9" s="28" t="str"/>
    </x:row>
    <x:row r="10">
      <x:c r="A10" s="26" t="n">
        <x:v>6</x:v>
      </x:c>
      <x:c r="B10" s="27" t="str">
        <x:v>Lesson 6 Topic</x:v>
      </x:c>
      <x:c r="C10" s="27" t="str"/>
      <x:c r="D10" s="27" t="str"/>
      <x:c r="E10" s="27" t="str"/>
      <x:c r="F10" s="27" t="str"/>
      <x:c r="G10" s="27" t="str"/>
      <x:c r="H10" s="27" t="str"/>
      <x:c r="I10" s="27" t="str">
        <x:v>No</x:v>
      </x:c>
      <x:c r="J10" s="27" t="str"/>
      <x:c r="K10" s="27" t="str">
        <x:v>No</x:v>
      </x:c>
      <x:c r="L10" s="27" t="str"/>
      <x:c r="M10" s="27" t="str"/>
      <x:c r="N10" s="27" t="str">
        <x:v>Designer Decision</x:v>
      </x:c>
      <x:c r="O10" s="27" t="str"/>
      <x:c r="P10" s="27" t="n">
        <x:v>50</x:v>
      </x:c>
      <x:c r="Q10" s="27" t="str">
        <x:v>Not Reviewed</x:v>
      </x:c>
      <x:c r="R10" s="28" t="str"/>
    </x:row>
    <x:row r="11">
      <x:c r="A11" s="26" t="n">
        <x:v>7</x:v>
      </x:c>
      <x:c r="B11" s="27" t="str">
        <x:v>Lesson 7 Topic</x:v>
      </x:c>
      <x:c r="C11" s="27" t="str"/>
      <x:c r="D11" s="27" t="str"/>
      <x:c r="E11" s="27" t="str"/>
      <x:c r="F11" s="27" t="str"/>
      <x:c r="G11" s="27" t="str"/>
      <x:c r="H11" s="27" t="str"/>
      <x:c r="I11" s="27" t="str">
        <x:v>No</x:v>
      </x:c>
      <x:c r="J11" s="27" t="str"/>
      <x:c r="K11" s="27" t="str">
        <x:v>No</x:v>
      </x:c>
      <x:c r="L11" s="27" t="str"/>
      <x:c r="M11" s="27" t="str"/>
      <x:c r="N11" s="27" t="str">
        <x:v>Designer Decision</x:v>
      </x:c>
      <x:c r="O11" s="27" t="str"/>
      <x:c r="P11" s="27" t="n">
        <x:v>50</x:v>
      </x:c>
      <x:c r="Q11" s="27" t="str">
        <x:v>Not Reviewed</x:v>
      </x:c>
      <x:c r="R11" s="28" t="str"/>
    </x:row>
    <x:row r="12">
      <x:c r="A12" s="26" t="n">
        <x:v>8</x:v>
      </x:c>
      <x:c r="B12" s="27" t="str">
        <x:v>Lesson 8 Topic</x:v>
      </x:c>
      <x:c r="C12" s="27" t="str"/>
      <x:c r="D12" s="27" t="str"/>
      <x:c r="E12" s="27" t="str"/>
      <x:c r="F12" s="27" t="str"/>
      <x:c r="G12" s="27" t="str"/>
      <x:c r="H12" s="27" t="str"/>
      <x:c r="I12" s="27" t="str">
        <x:v>No</x:v>
      </x:c>
      <x:c r="J12" s="27" t="str"/>
      <x:c r="K12" s="27" t="str">
        <x:v>No</x:v>
      </x:c>
      <x:c r="L12" s="27" t="str"/>
      <x:c r="M12" s="27" t="str"/>
      <x:c r="N12" s="27" t="str">
        <x:v>Designer Decision</x:v>
      </x:c>
      <x:c r="O12" s="27" t="str"/>
      <x:c r="P12" s="27" t="n">
        <x:v>50</x:v>
      </x:c>
      <x:c r="Q12" s="27" t="str">
        <x:v>Not Reviewed</x:v>
      </x:c>
      <x:c r="R12" s="28" t="str"/>
    </x:row>
  </x:sheetData>
  <x:mergeCells>
    <x:mergeCell ref="A1:R1"/>
    <x:mergeCell ref="A2:R2"/>
  </x:mergeCells>
  <x:dataValidations count="4">
    <x:dataValidation type="list" sqref="I5:I12">
      <x:formula1>"Yes,No"</x:formula1>
    </x:dataValidation>
    <x:dataValidation type="list" sqref="K5:K12">
      <x:formula1>"Yes,No"</x:formula1>
    </x:dataValidation>
    <x:dataValidation type="list" sqref="N5:N12">
      <x:formula1>"Interactive Lesson,Course Response,Course Document Submission,Instructor-Facilitated,Combined,Designer Decision"</x:formula1>
    </x:dataValidation>
    <x:dataValidation type="list" sqref="Q5:Q12">
      <x:formula1>"Not Reviewed,Approved,Revise"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fde4d37c4340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0" hidden="0" customWidth="1"/>
    <x:col min="4" max="4" width="38" hidden="0" customWidth="1"/>
    <x:col min="5" max="5" width="48" hidden="0" customWidth="1"/>
    <x:col min="6" max="6" width="68" hidden="0" customWidth="1"/>
    <x:col min="7" max="7" width="20" hidden="0" customWidth="1"/>
    <x:col min="8" max="8" width="22" hidden="0" customWidth="1"/>
    <x:col min="9" max="9" width="34" hidden="0" customWidth="1"/>
    <x:col min="10" max="10" width="48" hidden="0" customWidth="1"/>
    <x:col min="11" max="11" width="38" hidden="0" customWidth="1"/>
    <x:col min="12" max="12" width="40" hidden="0" customWidth="1"/>
    <x:col min="13" max="13" width="16" hidden="0" customWidth="1"/>
    <x:col min="14" max="14" width="20" hidden="0" customWidth="1"/>
    <x:col min="15" max="15" width="18" hidden="0" customWidth="1"/>
    <x:col min="16" max="16" width="34" hidden="0" customWidth="1"/>
  </x:cols>
  <x:sheetData>
    <x:row r="1" ht="32" customHeight="1">
      <x:c r="A1" s="3" t="str">
        <x:v>Draft Student-Facing Lesson Content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Codex drafts concise, source-supported instruction here after the blueprint is approved. Each row represents one instructional step; .3 and .4 are added only when needed.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8" customHeight="1">
      <x:c r="A4" s="35" t="str">
        <x:v>Lesson</x:v>
      </x:c>
      <x:c r="B4" s="36" t="str">
        <x:v>Step</x:v>
      </x:c>
      <x:c r="C4" s="36" t="str">
        <x:v>Step Title</x:v>
      </x:c>
      <x:c r="D4" s="36" t="str">
        <x:v>Instructional Purpose</x:v>
      </x:c>
      <x:c r="E4" s="36" t="str">
        <x:v>Your Next Move</x:v>
      </x:c>
      <x:c r="F4" s="36" t="str">
        <x:v>Student-Facing Instruction</x:v>
      </x:c>
      <x:c r="G4" s="36" t="str">
        <x:v>Primary Resource ID</x:v>
      </x:c>
      <x:c r="H4" s="36" t="str">
        <x:v>Additional Source IDs</x:v>
      </x:c>
      <x:c r="I4" s="36" t="str">
        <x:v>Graphic Path</x:v>
      </x:c>
      <x:c r="J4" s="36" t="str">
        <x:v>Graphic Alt Text</x:v>
      </x:c>
      <x:c r="K4" s="36" t="str">
        <x:v>Graphic Caption</x:v>
      </x:c>
      <x:c r="L4" s="36" t="str">
        <x:v>Check Override Reason</x:v>
      </x:c>
      <x:c r="M4" s="36" t="str">
        <x:v>Estimated Minutes</x:v>
      </x:c>
      <x:c r="N4" s="36" t="str">
        <x:v>Reading-Level Check</x:v>
      </x:c>
      <x:c r="O4" s="36" t="str">
        <x:v>Approval Status</x:v>
      </x:c>
      <x:c r="P4" s="37" t="str">
        <x:v>Designer Notes</x:v>
      </x:c>
    </x:row>
    <x:row r="5">
      <x:c r="A5" s="26" t="n">
        <x:v>1</x:v>
      </x:c>
      <x:c r="B5" s="27" t="str">
        <x:v>Step .2</x:v>
      </x:c>
      <x:c r="C5" s="27" t="str">
        <x:v>Connect and Learn</x:v>
      </x:c>
      <x:c r="D5" s="27" t="str"/>
      <x:c r="E5" s="27" t="str"/>
      <x:c r="F5" s="27" t="str"/>
      <x:c r="G5" s="27" t="str"/>
      <x:c r="H5" s="27" t="str"/>
      <x:c r="I5" s="27" t="str"/>
      <x:c r="J5" s="27" t="str"/>
      <x:c r="K5" s="27" t="str"/>
      <x:c r="L5" s="27" t="str"/>
      <x:c r="M5" s="27" t="n">
        <x:v>12</x:v>
      </x:c>
      <x:c r="N5" s="27" t="str">
        <x:v>Not Checked</x:v>
      </x:c>
      <x:c r="O5" s="27" t="str">
        <x:v>Not Reviewed</x:v>
      </x:c>
      <x:c r="P5" s="28" t="str"/>
    </x:row>
    <x:row r="6">
      <x:c r="A6" s="26" t="n">
        <x:v>2</x:v>
      </x:c>
      <x:c r="B6" s="27" t="str">
        <x:v>Step .2</x:v>
      </x:c>
      <x:c r="C6" s="27" t="str">
        <x:v>Connect and Learn</x:v>
      </x:c>
      <x:c r="D6" s="27" t="str"/>
      <x:c r="E6" s="27" t="str"/>
      <x:c r="F6" s="27" t="str"/>
      <x:c r="G6" s="27" t="str"/>
      <x:c r="H6" s="27" t="str"/>
      <x:c r="I6" s="27" t="str"/>
      <x:c r="J6" s="27" t="str"/>
      <x:c r="K6" s="27" t="str"/>
      <x:c r="L6" s="27" t="str"/>
      <x:c r="M6" s="27" t="n">
        <x:v>12</x:v>
      </x:c>
      <x:c r="N6" s="27" t="str">
        <x:v>Not Checked</x:v>
      </x:c>
      <x:c r="O6" s="27" t="str">
        <x:v>Not Reviewed</x:v>
      </x:c>
      <x:c r="P6" s="28" t="str"/>
    </x:row>
    <x:row r="7">
      <x:c r="A7" s="26" t="n">
        <x:v>3</x:v>
      </x:c>
      <x:c r="B7" s="27" t="str">
        <x:v>Step .2</x:v>
      </x:c>
      <x:c r="C7" s="27" t="str">
        <x:v>Connect and Learn</x:v>
      </x:c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n">
        <x:v>12</x:v>
      </x:c>
      <x:c r="N7" s="27" t="str">
        <x:v>Not Checked</x:v>
      </x:c>
      <x:c r="O7" s="27" t="str">
        <x:v>Not Reviewed</x:v>
      </x:c>
      <x:c r="P7" s="28" t="str"/>
    </x:row>
    <x:row r="8">
      <x:c r="A8" s="26" t="n">
        <x:v>4</x:v>
      </x:c>
      <x:c r="B8" s="27" t="str">
        <x:v>Step .2</x:v>
      </x:c>
      <x:c r="C8" s="27" t="str">
        <x:v>Connect and Learn</x:v>
      </x:c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/>
      <x:c r="M8" s="27" t="n">
        <x:v>12</x:v>
      </x:c>
      <x:c r="N8" s="27" t="str">
        <x:v>Not Checked</x:v>
      </x:c>
      <x:c r="O8" s="27" t="str">
        <x:v>Not Reviewed</x:v>
      </x:c>
      <x:c r="P8" s="28" t="str"/>
    </x:row>
    <x:row r="9">
      <x:c r="A9" s="26" t="n">
        <x:v>5</x:v>
      </x:c>
      <x:c r="B9" s="27" t="str">
        <x:v>Step .2</x:v>
      </x:c>
      <x:c r="C9" s="27" t="str">
        <x:v>Connect and Learn</x:v>
      </x:c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n">
        <x:v>12</x:v>
      </x:c>
      <x:c r="N9" s="27" t="str">
        <x:v>Not Checked</x:v>
      </x:c>
      <x:c r="O9" s="27" t="str">
        <x:v>Not Reviewed</x:v>
      </x:c>
      <x:c r="P9" s="28" t="str"/>
    </x:row>
    <x:row r="10">
      <x:c r="A10" s="26" t="n">
        <x:v>6</x:v>
      </x:c>
      <x:c r="B10" s="27" t="str">
        <x:v>Step .2</x:v>
      </x:c>
      <x:c r="C10" s="27" t="str">
        <x:v>Connect and Learn</x:v>
      </x:c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/>
      <x:c r="M10" s="27" t="n">
        <x:v>12</x:v>
      </x:c>
      <x:c r="N10" s="27" t="str">
        <x:v>Not Checked</x:v>
      </x:c>
      <x:c r="O10" s="27" t="str">
        <x:v>Not Reviewed</x:v>
      </x:c>
      <x:c r="P10" s="28" t="str"/>
    </x:row>
    <x:row r="11">
      <x:c r="A11" s="26" t="n">
        <x:v>7</x:v>
      </x:c>
      <x:c r="B11" s="27" t="str">
        <x:v>Step .2</x:v>
      </x:c>
      <x:c r="C11" s="27" t="str">
        <x:v>Connect and Learn</x:v>
      </x:c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n">
        <x:v>12</x:v>
      </x:c>
      <x:c r="N11" s="27" t="str">
        <x:v>Not Checked</x:v>
      </x:c>
      <x:c r="O11" s="27" t="str">
        <x:v>Not Reviewed</x:v>
      </x:c>
      <x:c r="P11" s="28" t="str"/>
    </x:row>
    <x:row r="12">
      <x:c r="A12" s="26" t="n">
        <x:v>8</x:v>
      </x:c>
      <x:c r="B12" s="27" t="str">
        <x:v>Step .2</x:v>
      </x:c>
      <x:c r="C12" s="27" t="str">
        <x:v>Connect and Learn</x:v>
      </x:c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n">
        <x:v>12</x:v>
      </x:c>
      <x:c r="N12" s="27" t="str">
        <x:v>Not Checked</x:v>
      </x:c>
      <x:c r="O12" s="27" t="str">
        <x:v>Not Reviewed</x:v>
      </x:c>
      <x:c r="P12" s="28" t="str"/>
    </x:row>
  </x:sheetData>
  <x:mergeCells>
    <x:mergeCell ref="A1:P1"/>
    <x:mergeCell ref="A2:P2"/>
  </x:mergeCells>
  <x:dataValidations count="3">
    <x:dataValidation type="list" sqref="B5:B204">
      <x:formula1>"Step .2,Step .3,Step .4"</x:formula1>
    </x:dataValidation>
    <x:dataValidation type="list" sqref="N5:N204">
      <x:formula1>"Not Checked,Pass,Revise"</x:formula1>
    </x:dataValidation>
    <x:dataValidation type="list" sqref="O5:O204">
      <x:formula1>"Not Reviewed,Approved,Revise,Rejected"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f19d64aa6445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48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20" hidden="0" customWidth="1"/>
    <x:col min="15" max="15" width="40" hidden="0" customWidth="1"/>
    <x:col min="16" max="16" width="40" hidden="0" customWidth="1"/>
    <x:col min="17" max="17" width="18" hidden="0" customWidth="1"/>
    <x:col min="18" max="18" width="18" hidden="0" customWidth="1"/>
    <x:col min="19" max="19" width="38" hidden="0" customWidth="1"/>
    <x:col min="20" max="20" width="36" hidden="0" customWidth="1"/>
    <x:col min="21" max="21" width="18" hidden="0" customWidth="1"/>
    <x:col min="22" max="22" width="34" hidden="0" customWidth="1"/>
  </x:cols>
  <x:sheetData>
    <x:row r="1" ht="32" customHeight="1">
      <x:c r="A1" s="3" t="str">
        <x:v>Checks for Understanding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7" t="str">
        <x:v>Codex drafts at least one meaningful check for each instructional step unless the designer records an approved reason to omit it.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8" customHeight="1">
      <x:c r="A4" s="35" t="str">
        <x:v>Lesson</x:v>
      </x:c>
      <x:c r="B4" s="36" t="str">
        <x:v>Step</x:v>
      </x:c>
      <x:c r="C4" s="36" t="str">
        <x:v>Question ID</x:v>
      </x:c>
      <x:c r="D4" s="36" t="str">
        <x:v>Standard IDs</x:v>
      </x:c>
      <x:c r="E4" s="36" t="str">
        <x:v>Objective IDs</x:v>
      </x:c>
      <x:c r="F4" s="36" t="str">
        <x:v>Question Type</x:v>
      </x:c>
      <x:c r="G4" s="36" t="str">
        <x:v>Prompt</x:v>
      </x:c>
      <x:c r="H4" s="36" t="str">
        <x:v>Option A</x:v>
      </x:c>
      <x:c r="I4" s="36" t="str">
        <x:v>Option B</x:v>
      </x:c>
      <x:c r="J4" s="36" t="str">
        <x:v>Option C</x:v>
      </x:c>
      <x:c r="K4" s="36" t="str">
        <x:v>Option D</x:v>
      </x:c>
      <x:c r="L4" s="36" t="str">
        <x:v>Option E</x:v>
      </x:c>
      <x:c r="M4" s="36" t="str">
        <x:v>Option F</x:v>
      </x:c>
      <x:c r="N4" s="36" t="str">
        <x:v>Correct Answer(s)</x:v>
      </x:c>
      <x:c r="O4" s="36" t="str">
        <x:v>Correct Feedback</x:v>
      </x:c>
      <x:c r="P4" s="36" t="str">
        <x:v>Incorrect Feedback</x:v>
      </x:c>
      <x:c r="Q4" s="36" t="str">
        <x:v>Source IDs</x:v>
      </x:c>
      <x:c r="R4" s="36" t="str">
        <x:v>Cognitive Level</x:v>
      </x:c>
      <x:c r="S4" s="36" t="str">
        <x:v>Designer Rationale</x:v>
      </x:c>
      <x:c r="T4" s="36" t="str">
        <x:v>Override Reason</x:v>
      </x:c>
      <x:c r="U4" s="36" t="str">
        <x:v>Approval Status</x:v>
      </x:c>
      <x:c r="V4" s="37" t="str">
        <x:v>Designer Notes</x:v>
      </x:c>
    </x:row>
    <x:row r="5">
      <x:c r="A5" s="26" t="n">
        <x:v>1</x:v>
      </x:c>
      <x:c r="B5" s="27" t="str">
        <x:v>Step .2</x:v>
      </x:c>
      <x:c r="C5" s="27" t="str">
        <x:v>CFU-1-2-01</x:v>
      </x:c>
      <x:c r="D5" s="27" t="str"/>
      <x:c r="E5" s="27" t="str"/>
      <x:c r="F5" s="27" t="str">
        <x:v>Multiple Choice</x:v>
      </x:c>
      <x:c r="G5" s="27" t="str"/>
      <x:c r="H5" s="27" t="str"/>
      <x:c r="I5" s="27" t="str"/>
      <x:c r="J5" s="27" t="str"/>
      <x:c r="K5" s="27" t="str"/>
      <x:c r="L5" s="27" t="str"/>
      <x:c r="M5" s="27" t="str"/>
      <x:c r="N5" s="27" t="str"/>
      <x:c r="O5" s="27" t="str"/>
      <x:c r="P5" s="27" t="str"/>
      <x:c r="Q5" s="27" t="str"/>
      <x:c r="R5" s="27" t="str">
        <x:v>Understand</x:v>
      </x:c>
      <x:c r="S5" s="27" t="str"/>
      <x:c r="T5" s="27" t="str"/>
      <x:c r="U5" s="27" t="str">
        <x:v>Not Reviewed</x:v>
      </x:c>
      <x:c r="V5" s="28" t="str"/>
    </x:row>
  </x:sheetData>
  <x:mergeCells>
    <x:mergeCell ref="A1:V1"/>
    <x:mergeCell ref="A2:V2"/>
  </x:mergeCells>
  <x:dataValidations count="4">
    <x:dataValidation type="list" sqref="B5:B204">
      <x:formula1>"Step .2,Step .3,Step .4"</x:formula1>
    </x:dataValidation>
    <x:dataValidation type="list" sqref="F5:F204">
      <x:formula1>"Multiple Choice,Multiple Select,True/False,Dropdown,Short Answer,Extended Response"</x:formula1>
    </x:dataValidation>
    <x:dataValidation type="list" sqref="R5:R204">
      <x:formula1>"Remember,Understand,Apply,Analyze,Evaluate,Create"</x:formula1>
    </x:dataValidation>
    <x:dataValidation type="list" sqref="U5:U204">
      <x:formula1>"Not Reviewed,Approved,Revise,Rejected"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d136ab0db4f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42" hidden="0" customWidth="1"/>
    <x:col min="5" max="5" width="18" hidden="0" customWidth="1"/>
    <x:col min="6" max="6" width="18" hidden="0" customWidth="1"/>
    <x:col min="7" max="7" width="55" hidden="0" customWidth="1"/>
    <x:col min="8" max="8" width="28" hidden="0" customWidth="1"/>
    <x:col min="9" max="9" width="36" hidden="0" customWidth="1"/>
    <x:col min="10" max="10" width="15" hidden="0" customWidth="1"/>
    <x:col min="11" max="11" width="42" hidden="0" customWidth="1"/>
    <x:col min="12" max="12" width="18" hidden="0" customWidth="1"/>
    <x:col min="13" max="13" width="34" hidden="0" customWidth="1"/>
  </x:cols>
  <x:sheetData>
    <x:row r="1" ht="32" customHeight="1">
      <x:c r="A1" s="3" t="str">
        <x:v>Required .5 Application Activities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Every lesson includes an authentic application. CTE modules require meaningful program-specific pathways.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8" customHeight="1">
      <x:c r="A4" s="35" t="str">
        <x:v>Lesson</x:v>
      </x:c>
      <x:c r="B4" s="36" t="str">
        <x:v>Activity ID</x:v>
      </x:c>
      <x:c r="C4" s="36" t="str">
        <x:v>Activity Title</x:v>
      </x:c>
      <x:c r="D4" s="36" t="str">
        <x:v>Purpose</x:v>
      </x:c>
      <x:c r="E4" s="36" t="str">
        <x:v>Standard IDs</x:v>
      </x:c>
      <x:c r="F4" s="36" t="str">
        <x:v>Objective IDs</x:v>
      </x:c>
      <x:c r="G4" s="36" t="str">
        <x:v>Directions</x:v>
      </x:c>
      <x:c r="H4" s="36" t="str">
        <x:v>Completion Mode</x:v>
      </x:c>
      <x:c r="I4" s="36" t="str">
        <x:v>Student Product or Evidence</x:v>
      </x:c>
      <x:c r="J4" s="36" t="str">
        <x:v>Estimated Minutes</x:v>
      </x:c>
      <x:c r="K4" s="36" t="str">
        <x:v>Feedback or Exemplar Plan</x:v>
      </x:c>
      <x:c r="L4" s="36" t="str">
        <x:v>Approval Status</x:v>
      </x:c>
      <x:c r="M4" s="37" t="str">
        <x:v>Designer Notes</x:v>
      </x:c>
    </x:row>
    <x:row r="5">
      <x:c r="A5" s="26" t="n">
        <x:v>1</x:v>
      </x:c>
      <x:c r="B5" s="27" t="str">
        <x:v>APP-1-01</x:v>
      </x:c>
      <x:c r="C5" s="27" t="str"/>
      <x:c r="D5" s="27" t="str"/>
      <x:c r="E5" s="27" t="str"/>
      <x:c r="F5" s="27" t="str"/>
      <x:c r="G5" s="27" t="str"/>
      <x:c r="H5" s="27" t="str">
        <x:v>Designer Decision</x:v>
      </x:c>
      <x:c r="I5" s="27" t="str"/>
      <x:c r="J5" s="27" t="n">
        <x:v>15</x:v>
      </x:c>
      <x:c r="K5" s="27" t="str"/>
      <x:c r="L5" s="27" t="str">
        <x:v>Not Reviewed</x:v>
      </x:c>
      <x:c r="M5" s="28" t="str"/>
    </x:row>
    <x:row r="6">
      <x:c r="A6" s="26" t="n">
        <x:v>2</x:v>
      </x:c>
      <x:c r="B6" s="27" t="str">
        <x:v>APP-2-01</x:v>
      </x:c>
      <x:c r="C6" s="27" t="str"/>
      <x:c r="D6" s="27" t="str"/>
      <x:c r="E6" s="27" t="str"/>
      <x:c r="F6" s="27" t="str"/>
      <x:c r="G6" s="27" t="str"/>
      <x:c r="H6" s="27" t="str">
        <x:v>Designer Decision</x:v>
      </x:c>
      <x:c r="I6" s="27" t="str"/>
      <x:c r="J6" s="27" t="n">
        <x:v>15</x:v>
      </x:c>
      <x:c r="K6" s="27" t="str"/>
      <x:c r="L6" s="27" t="str">
        <x:v>Not Reviewed</x:v>
      </x:c>
      <x:c r="M6" s="28" t="str"/>
    </x:row>
    <x:row r="7">
      <x:c r="A7" s="26" t="n">
        <x:v>3</x:v>
      </x:c>
      <x:c r="B7" s="27" t="str">
        <x:v>APP-3-01</x:v>
      </x:c>
      <x:c r="C7" s="27" t="str"/>
      <x:c r="D7" s="27" t="str"/>
      <x:c r="E7" s="27" t="str"/>
      <x:c r="F7" s="27" t="str"/>
      <x:c r="G7" s="27" t="str"/>
      <x:c r="H7" s="27" t="str">
        <x:v>Designer Decision</x:v>
      </x:c>
      <x:c r="I7" s="27" t="str"/>
      <x:c r="J7" s="27" t="n">
        <x:v>15</x:v>
      </x:c>
      <x:c r="K7" s="27" t="str"/>
      <x:c r="L7" s="27" t="str">
        <x:v>Not Reviewed</x:v>
      </x:c>
      <x:c r="M7" s="28" t="str"/>
    </x:row>
    <x:row r="8">
      <x:c r="A8" s="26" t="n">
        <x:v>4</x:v>
      </x:c>
      <x:c r="B8" s="27" t="str">
        <x:v>APP-4-01</x:v>
      </x:c>
      <x:c r="C8" s="27" t="str"/>
      <x:c r="D8" s="27" t="str"/>
      <x:c r="E8" s="27" t="str"/>
      <x:c r="F8" s="27" t="str"/>
      <x:c r="G8" s="27" t="str"/>
      <x:c r="H8" s="27" t="str">
        <x:v>Designer Decision</x:v>
      </x:c>
      <x:c r="I8" s="27" t="str"/>
      <x:c r="J8" s="27" t="n">
        <x:v>15</x:v>
      </x:c>
      <x:c r="K8" s="27" t="str"/>
      <x:c r="L8" s="27" t="str">
        <x:v>Not Reviewed</x:v>
      </x:c>
      <x:c r="M8" s="28" t="str"/>
    </x:row>
    <x:row r="9">
      <x:c r="A9" s="26" t="n">
        <x:v>5</x:v>
      </x:c>
      <x:c r="B9" s="27" t="str">
        <x:v>APP-5-01</x:v>
      </x:c>
      <x:c r="C9" s="27" t="str"/>
      <x:c r="D9" s="27" t="str"/>
      <x:c r="E9" s="27" t="str"/>
      <x:c r="F9" s="27" t="str"/>
      <x:c r="G9" s="27" t="str"/>
      <x:c r="H9" s="27" t="str">
        <x:v>Designer Decision</x:v>
      </x:c>
      <x:c r="I9" s="27" t="str"/>
      <x:c r="J9" s="27" t="n">
        <x:v>15</x:v>
      </x:c>
      <x:c r="K9" s="27" t="str"/>
      <x:c r="L9" s="27" t="str">
        <x:v>Not Reviewed</x:v>
      </x:c>
      <x:c r="M9" s="28" t="str"/>
    </x:row>
    <x:row r="10">
      <x:c r="A10" s="26" t="n">
        <x:v>6</x:v>
      </x:c>
      <x:c r="B10" s="27" t="str">
        <x:v>APP-6-01</x:v>
      </x:c>
      <x:c r="C10" s="27" t="str"/>
      <x:c r="D10" s="27" t="str"/>
      <x:c r="E10" s="27" t="str"/>
      <x:c r="F10" s="27" t="str"/>
      <x:c r="G10" s="27" t="str"/>
      <x:c r="H10" s="27" t="str">
        <x:v>Designer Decision</x:v>
      </x:c>
      <x:c r="I10" s="27" t="str"/>
      <x:c r="J10" s="27" t="n">
        <x:v>15</x:v>
      </x:c>
      <x:c r="K10" s="27" t="str"/>
      <x:c r="L10" s="27" t="str">
        <x:v>Not Reviewed</x:v>
      </x:c>
      <x:c r="M10" s="28" t="str"/>
    </x:row>
    <x:row r="11">
      <x:c r="A11" s="26" t="n">
        <x:v>7</x:v>
      </x:c>
      <x:c r="B11" s="27" t="str">
        <x:v>APP-7-01</x:v>
      </x:c>
      <x:c r="C11" s="27" t="str"/>
      <x:c r="D11" s="27" t="str"/>
      <x:c r="E11" s="27" t="str"/>
      <x:c r="F11" s="27" t="str"/>
      <x:c r="G11" s="27" t="str"/>
      <x:c r="H11" s="27" t="str">
        <x:v>Designer Decision</x:v>
      </x:c>
      <x:c r="I11" s="27" t="str"/>
      <x:c r="J11" s="27" t="n">
        <x:v>15</x:v>
      </x:c>
      <x:c r="K11" s="27" t="str"/>
      <x:c r="L11" s="27" t="str">
        <x:v>Not Reviewed</x:v>
      </x:c>
      <x:c r="M11" s="28" t="str"/>
    </x:row>
    <x:row r="12">
      <x:c r="A12" s="26" t="n">
        <x:v>8</x:v>
      </x:c>
      <x:c r="B12" s="27" t="str">
        <x:v>APP-8-01</x:v>
      </x:c>
      <x:c r="C12" s="27" t="str"/>
      <x:c r="D12" s="27" t="str"/>
      <x:c r="E12" s="27" t="str"/>
      <x:c r="F12" s="27" t="str"/>
      <x:c r="G12" s="27" t="str"/>
      <x:c r="H12" s="27" t="str">
        <x:v>Designer Decision</x:v>
      </x:c>
      <x:c r="I12" s="27" t="str"/>
      <x:c r="J12" s="27" t="n">
        <x:v>15</x:v>
      </x:c>
      <x:c r="K12" s="27" t="str"/>
      <x:c r="L12" s="27" t="str">
        <x:v>Not Reviewed</x:v>
      </x:c>
      <x:c r="M12" s="28" t="str"/>
    </x:row>
  </x:sheetData>
  <x:mergeCells>
    <x:mergeCell ref="A1:M1"/>
    <x:mergeCell ref="A2:M2"/>
  </x:mergeCells>
  <x:dataValidations count="2">
    <x:dataValidation type="list" sqref="H5:H204">
      <x:formula1>"Interactive Lesson,Course Response,Course Document Submission,Instructor-Facilitated,Combined,Designer Decision"</x:formula1>
    </x:dataValidation>
    <x:dataValidation type="list" sqref="L5:L204">
      <x:formula1>"Not Reviewed,Approved,Revise,Rejected"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be326b47644b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8" hidden="0" customWidth="1"/>
    <x:col min="5" max="5" width="48" hidden="0" customWidth="1"/>
    <x:col min="6" max="6" width="40" hidden="0" customWidth="1"/>
    <x:col min="7" max="7" width="40" hidden="0" customWidth="1"/>
    <x:col min="8" max="8" width="40" hidden="0" customWidth="1"/>
    <x:col min="9" max="9" width="48" hidden="0" customWidth="1"/>
    <x:col min="10" max="10" width="18" hidden="0" customWidth="1"/>
    <x:col min="11" max="11" width="24" hidden="0" customWidth="1"/>
    <x:col min="12" max="12" width="20" hidden="0" customWidth="1"/>
    <x:col min="13" max="13" width="18" hidden="0" customWidth="1"/>
    <x:col min="14" max="14" width="34" hidden="0" customWidth="1"/>
  </x:cols>
  <x:sheetData>
    <x:row r="1" ht="32" customHeight="1">
      <x:c r="A1" s="3" t="str">
        <x:v>Program-Specific Application Scenarios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A CTE scenario counts only when it uses an authentic decision, task, artifact, safety issue, tool, client, stakeholder, or workplace condition.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35" t="str">
        <x:v>Lesson</x:v>
      </x:c>
      <x:c r="B4" s="36" t="str">
        <x:v>Activity ID</x:v>
      </x:c>
      <x:c r="C4" s="36" t="str">
        <x:v>Program</x:v>
      </x:c>
      <x:c r="D4" s="36" t="str">
        <x:v>Scenario ID</x:v>
      </x:c>
      <x:c r="E4" s="36" t="str">
        <x:v>Situation</x:v>
      </x:c>
      <x:c r="F4" s="36" t="str">
        <x:v>Prompt 1</x:v>
      </x:c>
      <x:c r="G4" s="36" t="str">
        <x:v>Prompt 2</x:v>
      </x:c>
      <x:c r="H4" s="36" t="str">
        <x:v>Prompt 3</x:v>
      </x:c>
      <x:c r="I4" s="36" t="str">
        <x:v>Exemplar or Feedback</x:v>
      </x:c>
      <x:c r="J4" s="36" t="str">
        <x:v>Source IDs</x:v>
      </x:c>
      <x:c r="K4" s="36" t="str">
        <x:v>Subject-Matter Verification</x:v>
      </x:c>
      <x:c r="L4" s="36" t="str">
        <x:v>Coverage Quality</x:v>
      </x:c>
      <x:c r="M4" s="36" t="str">
        <x:v>Approval Status</x:v>
      </x:c>
      <x:c r="N4" s="37" t="str">
        <x:v>Designer Notes</x:v>
      </x:c>
    </x:row>
    <x:row r="5">
      <x:c r="A5" s="26" t="n">
        <x:v>1</x:v>
      </x:c>
      <x:c r="B5" s="27" t="str">
        <x:v>APP-1-01</x:v>
      </x:c>
      <x:c r="C5" s="27" t="str"/>
      <x:c r="D5" s="27" t="str">
        <x:v>SCN-1-001</x:v>
      </x:c>
      <x:c r="E5" s="27" t="str"/>
      <x:c r="F5" s="27" t="str"/>
      <x:c r="G5" s="27" t="str"/>
      <x:c r="H5" s="27" t="str"/>
      <x:c r="I5" s="27" t="str"/>
      <x:c r="J5" s="27" t="str"/>
      <x:c r="K5" s="27" t="str">
        <x:v>Needed</x:v>
      </x:c>
      <x:c r="L5" s="27" t="str">
        <x:v>Not Reviewed</x:v>
      </x:c>
      <x:c r="M5" s="27" t="str">
        <x:v>Not Reviewed</x:v>
      </x:c>
      <x:c r="N5" s="28" t="str"/>
    </x:row>
  </x:sheetData>
  <x:mergeCells>
    <x:mergeCell ref="A1:N1"/>
    <x:mergeCell ref="A2:N2"/>
  </x:mergeCells>
  <x:dataValidations count="3">
    <x:dataValidation type="list" sqref="K5:K304">
      <x:formula1>"Needed,Verified,Not Applicable"</x:formula1>
    </x:dataValidation>
    <x:dataValidation type="list" sqref="L5:L304">
      <x:formula1>"Not Reviewed,Meaningful,Superficial,Needs Revision"</x:formula1>
    </x:dataValidation>
    <x:dataValidation type="list" sqref="M5:M304">
      <x:formula1>"Not Reviewed,Approved,Revise,Rejected"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e78ec2417d49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4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20" hidden="0" customWidth="1"/>
    <x:col min="14" max="14" width="12" hidden="0" customWidth="1"/>
    <x:col min="15" max="15" width="40" hidden="0" customWidth="1"/>
    <x:col min="16" max="16" width="40" hidden="0" customWidth="1"/>
    <x:col min="17" max="17" width="18" hidden="0" customWidth="1"/>
    <x:col min="18" max="18" width="18" hidden="0" customWidth="1"/>
    <x:col min="19" max="19" width="20" hidden="0" customWidth="1"/>
    <x:col min="20" max="20" width="14" hidden="0" customWidth="1"/>
    <x:col min="21" max="21" width="38" hidden="0" customWidth="1"/>
    <x:col min="22" max="22" width="38" hidden="0" customWidth="1"/>
    <x:col min="23" max="23" width="38" hidden="0" customWidth="1"/>
    <x:col min="24" max="24" width="16" hidden="0" customWidth="1"/>
    <x:col min="25" max="25" width="18" hidden="0" customWidth="1"/>
    <x:col min="26" max="26" width="34" hidden="0" customWidth="1"/>
    <x:col min="27" max="27" width="18" hidden="0" customWidth="1"/>
  </x:cols>
  <x:sheetData>
    <x:row r="1" ht="32" customHeight="1">
      <x:c r="A1" s="3" t="str">
        <x:v>Portable Assessment Bank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This is the canonical source for Google Forms, Google Classroom, Canvas, and platform-neutral exports. Use portable item types by default.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38" customHeight="1">
      <x:c r="A4" s="35" t="str">
        <x:v>Lesson</x:v>
      </x:c>
      <x:c r="B4" s="36" t="str">
        <x:v>Question ID</x:v>
      </x:c>
      <x:c r="C4" s="36" t="str">
        <x:v>Standard IDs</x:v>
      </x:c>
      <x:c r="D4" s="36" t="str">
        <x:v>Objective IDs</x:v>
      </x:c>
      <x:c r="E4" s="36" t="str">
        <x:v>Question Type</x:v>
      </x:c>
      <x:c r="F4" s="36" t="str">
        <x:v>Prompt</x:v>
      </x:c>
      <x:c r="G4" s="36" t="str">
        <x:v>Option A</x:v>
      </x:c>
      <x:c r="H4" s="36" t="str">
        <x:v>Option B</x:v>
      </x:c>
      <x:c r="I4" s="36" t="str">
        <x:v>Option C</x:v>
      </x:c>
      <x:c r="J4" s="36" t="str">
        <x:v>Option D</x:v>
      </x:c>
      <x:c r="K4" s="36" t="str">
        <x:v>Option E</x:v>
      </x:c>
      <x:c r="L4" s="36" t="str">
        <x:v>Option F</x:v>
      </x:c>
      <x:c r="M4" s="36" t="str">
        <x:v>Correct Answer(s)</x:v>
      </x:c>
      <x:c r="N4" s="36" t="str">
        <x:v>Points</x:v>
      </x:c>
      <x:c r="O4" s="36" t="str">
        <x:v>Correct Feedback</x:v>
      </x:c>
      <x:c r="P4" s="36" t="str">
        <x:v>Incorrect Feedback</x:v>
      </x:c>
      <x:c r="Q4" s="36" t="str">
        <x:v>Source IDs</x:v>
      </x:c>
      <x:c r="R4" s="36" t="str">
        <x:v>Cognitive Level</x:v>
      </x:c>
      <x:c r="S4" s="36" t="str">
        <x:v>Randomization Group</x:v>
      </x:c>
      <x:c r="T4" s="36" t="str">
        <x:v>Required</x:v>
      </x:c>
      <x:c r="U4" s="36" t="str">
        <x:v>Google Forms Override</x:v>
      </x:c>
      <x:c r="V4" s="36" t="str">
        <x:v>Canvas Override</x:v>
      </x:c>
      <x:c r="W4" s="36" t="str">
        <x:v>Conversion Notes</x:v>
      </x:c>
      <x:c r="X4" s="36" t="str">
        <x:v>Reflection Item</x:v>
      </x:c>
      <x:c r="Y4" s="36" t="str">
        <x:v>Approval Status</x:v>
      </x:c>
      <x:c r="Z4" s="36" t="str">
        <x:v>Designer Notes</x:v>
      </x:c>
      <x:c r="AA4" s="37" t="str">
        <x:v>Portability Check</x:v>
      </x:c>
    </x:row>
    <x:row r="5">
      <x:c r="A5" s="26" t="n">
        <x:v>1</x:v>
      </x:c>
      <x:c r="B5" s="27" t="str">
        <x:v>A-1-01</x:v>
      </x:c>
      <x:c r="C5" s="27" t="str"/>
      <x:c r="D5" s="27" t="str"/>
      <x:c r="E5" s="27" t="str">
        <x:v>Multiple Choice</x:v>
      </x:c>
      <x:c r="F5" s="27" t="str"/>
      <x:c r="G5" s="27" t="str"/>
      <x:c r="H5" s="27" t="str"/>
      <x:c r="I5" s="27" t="str"/>
      <x:c r="J5" s="27" t="str"/>
      <x:c r="K5" s="27" t="str"/>
      <x:c r="L5" s="27" t="str"/>
      <x:c r="M5" s="27" t="str"/>
      <x:c r="N5" s="27" t="n">
        <x:v>1</x:v>
      </x:c>
      <x:c r="O5" s="27" t="str"/>
      <x:c r="P5" s="27" t="str"/>
      <x:c r="Q5" s="27" t="str"/>
      <x:c r="R5" s="27" t="str">
        <x:v>Understand</x:v>
      </x:c>
      <x:c r="S5" s="27" t="str">
        <x:v>L1-Core</x:v>
      </x:c>
      <x:c r="T5" s="27" t="str">
        <x:v>Yes</x:v>
      </x:c>
      <x:c r="U5" s="27" t="str"/>
      <x:c r="V5" s="27" t="str"/>
      <x:c r="W5" s="27" t="str"/>
      <x:c r="X5" s="27" t="str">
        <x:v>No</x:v>
      </x:c>
      <x:c r="Y5" s="27" t="str">
        <x:v>Not Reviewed</x:v>
      </x:c>
      <x:c r="Z5" s="27" t="str"/>
      <x:c r="AA5" s="28" t="str">
        <x:v>Not Checked</x:v>
      </x:c>
    </x:row>
  </x:sheetData>
  <x:mergeCells>
    <x:mergeCell ref="A1:AA1"/>
    <x:mergeCell ref="A2:AA2"/>
  </x:mergeCells>
  <x:dataValidations count="6">
    <x:dataValidation type="list" sqref="E5:E304">
      <x:formula1>"Multiple Choice,Multiple Select,True/False,Dropdown,Short Answer,Extended Response,Unscored Reflection"</x:formula1>
    </x:dataValidation>
    <x:dataValidation type="list" sqref="R5:R304">
      <x:formula1>"Remember,Understand,Apply,Analyze,Evaluate,Create"</x:formula1>
    </x:dataValidation>
    <x:dataValidation type="list" sqref="T5:T304">
      <x:formula1>"Yes,No"</x:formula1>
    </x:dataValidation>
    <x:dataValidation type="list" sqref="X5:X304">
      <x:formula1>"Yes,No"</x:formula1>
    </x:dataValidation>
    <x:dataValidation type="list" sqref="Y5:Y304">
      <x:formula1>"Not Reviewed,Approved,Revise,Rejected"</x:formula1>
    </x:dataValidation>
    <x:dataValidation type="list" sqref="AA5:AA304">
      <x:formula1>"Not Checked,Portable,Approved Platform Difference,Blocked"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31988b760e44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2" hidden="0" customWidth="1"/>
    <x:col min="5" max="5" width="48" hidden="0" customWidth="1"/>
    <x:col min="6" max="6" width="38" hidden="0" customWidth="1"/>
    <x:col min="7" max="7" width="42" hidden="0" customWidth="1"/>
    <x:col min="8" max="8" width="20" hidden="0" customWidth="1"/>
    <x:col min="9" max="9" width="16" hidden="0" customWidth="1"/>
    <x:col min="10" max="10" width="45" hidden="0" customWidth="1"/>
    <x:col min="11" max="11" width="16" hidden="0" customWidth="1"/>
  </x:cols>
  <x:sheetData>
    <x:row r="1" ht="32" customHeight="1">
      <x:c r="A1" s="3" t="str">
        <x:v>Design Decisions and Unresolved Issues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Use this log for assumptions, missing evidence, conflicts, approved exceptions, accessibility concerns, and platform limitations.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8" customHeight="1">
      <x:c r="A4" s="35" t="str">
        <x:v>Item ID</x:v>
      </x:c>
      <x:c r="B4" s="36" t="str">
        <x:v>Date</x:v>
      </x:c>
      <x:c r="C4" s="36" t="str">
        <x:v>Lesson or Scope</x:v>
      </x:c>
      <x:c r="D4" s="36" t="str">
        <x:v>Type</x:v>
      </x:c>
      <x:c r="E4" s="36" t="str">
        <x:v>Description</x:v>
      </x:c>
      <x:c r="F4" s="36" t="str">
        <x:v>Evidence or Source</x:v>
      </x:c>
      <x:c r="G4" s="36" t="str">
        <x:v>Recommendation</x:v>
      </x:c>
      <x:c r="H4" s="36" t="str">
        <x:v>Owner</x:v>
      </x:c>
      <x:c r="I4" s="36" t="str">
        <x:v>Status</x:v>
      </x:c>
      <x:c r="J4" s="36" t="str">
        <x:v>Decision or Resolution</x:v>
      </x:c>
      <x:c r="K4" s="37" t="str">
        <x:v>Approval Date</x:v>
      </x:c>
    </x:row>
    <x:row r="5">
      <x:c r="A5" s="26" t="str">
        <x:v>D-001</x:v>
      </x:c>
      <x:c r="B5" s="39"/>
      <x:c r="C5" s="27" t="str">
        <x:v>Course</x:v>
      </x:c>
      <x:c r="D5" s="27" t="str">
        <x:v>Open Question</x:v>
      </x:c>
      <x:c r="E5" s="27" t="str"/>
      <x:c r="F5" s="27" t="str"/>
      <x:c r="G5" s="27" t="str"/>
      <x:c r="H5" s="27" t="str"/>
      <x:c r="I5" s="27" t="str">
        <x:v>Open</x:v>
      </x:c>
      <x:c r="J5" s="27" t="str"/>
      <x:c r="K5" s="40"/>
    </x:row>
  </x:sheetData>
  <x:mergeCells>
    <x:mergeCell ref="A1:K1"/>
    <x:mergeCell ref="A2:K2"/>
  </x:mergeCells>
  <x:dataValidations count="2">
    <x:dataValidation type="list" sqref="D5:D204">
      <x:formula1>"Open Question,Source Conflict,Missing Resource,Accessibility,Pacing,Assessment,Program Coverage,Platform,Approved Exception"</x:formula1>
    </x:dataValidation>
    <x:dataValidation type="list" sqref="I5:I204">
      <x:formula1>"Open,In Progress,Resolved,Accepted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1a13a5c60e4bc4"/>
  </x:tableParts>
</x:worksheet>
</file>